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 Adj" sheetId="1" state="visible" r:id="rId1"/>
    <sheet xmlns:r="http://schemas.openxmlformats.org/officeDocument/2006/relationships" name="Notes &amp; Method" sheetId="2" state="visible" r:id="rId2"/>
    <sheet xmlns:r="http://schemas.openxmlformats.org/officeDocument/2006/relationships" name="Filing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;(0.0%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49" fontId="4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Extraction note</author>
  </authors>
  <commentList>
    <comment ref="F6" authorId="0" shapeId="0">
      <text>
        <t>Total per filing: 403 ($M). Filing states amounts may not foot due to rounding.</t>
      </text>
    </comment>
    <comment ref="L6" authorId="0" shapeId="0">
      <text>
        <t>Agrees to the 3,335 printed in the filing.</t>
      </text>
    </comment>
    <comment ref="M6" authorId="0" shapeId="0">
      <text>
        <t>Line items sum to 2,843; the filing prints 2,844 for total prior-year (Q2 2025) revenue. Difference is the filing's stated rounding ('certain totals may not foot').</t>
      </text>
    </comment>
    <comment ref="F11" authorId="0" shapeId="0">
      <text>
        <t>Total per filing: 742 ($M). Filing states amounts may not foot due to rounding.</t>
      </text>
    </comment>
    <comment ref="L11" authorId="0" shapeId="0">
      <text>
        <t>Agrees to the 6,516 printed in the filing.</t>
      </text>
    </comment>
    <comment ref="M11" authorId="0" shapeId="0">
      <text>
        <t>Agrees to the 5,498 printed in the filing.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26" customWidth="1" min="4" max="4"/>
    <col width="26" customWidth="1" min="5" max="5"/>
    <col width="16" customWidth="1" min="6" max="6"/>
    <col width="18" customWidth="1" min="7" max="7"/>
    <col width="18" customWidth="1" min="8" max="8"/>
    <col width="40" customWidth="1" min="9" max="9"/>
    <col width="30" customWidth="1" min="10" max="10"/>
    <col width="12" customWidth="1" min="11" max="11"/>
    <col width="20" customWidth="1" min="12" max="12"/>
    <col width="20" customWidth="1" min="13" max="13"/>
    <col width="20" customWidth="1" min="14" max="14"/>
    <col width="20" customWidth="1" min="15" max="15"/>
    <col width="34" customWidth="1" min="16" max="16"/>
  </cols>
  <sheetData>
    <row r="1" ht="42" customHeight="1">
      <c r="A1" s="1" t="inlineStr">
        <is>
          <t>Company</t>
        </is>
      </c>
      <c r="B1" s="1" t="inlineStr">
        <is>
          <t>Filing</t>
        </is>
      </c>
      <c r="C1" s="1" t="inlineStr">
        <is>
          <t>Fiscal Period Reported</t>
        </is>
      </c>
      <c r="D1" s="1" t="inlineStr">
        <is>
          <t>Reporting Basis</t>
        </is>
      </c>
      <c r="E1" s="1" t="inlineStr">
        <is>
          <t>Revenue Type</t>
        </is>
      </c>
      <c r="F1" s="1" t="inlineStr">
        <is>
          <t>Pro Forma Adj ($M)</t>
        </is>
      </c>
      <c r="G1" s="1" t="inlineStr">
        <is>
          <t>Pro Forma Period Start</t>
        </is>
      </c>
      <c r="H1" s="1" t="inlineStr">
        <is>
          <t>Pro Forma Period End</t>
        </is>
      </c>
      <c r="I1" s="1" t="inlineStr">
        <is>
          <t>Pro Forma Period (as stated in footnote)</t>
        </is>
      </c>
      <c r="J1" s="1" t="inlineStr">
        <is>
          <t>Acquisitions Included (closed after)</t>
        </is>
      </c>
      <c r="K1" s="1" t="inlineStr">
        <is>
          <t>Footnote Ref</t>
        </is>
      </c>
      <c r="L1" s="1" t="inlineStr">
        <is>
          <t>Reported Rev - Current Yr ($M)</t>
        </is>
      </c>
      <c r="M1" s="1" t="inlineStr">
        <is>
          <t>Reported Rev - Prior Yr ($M)</t>
        </is>
      </c>
      <c r="N1" s="1" t="inlineStr">
        <is>
          <t>Organic Growth % (as reported)</t>
        </is>
      </c>
      <c r="O1" s="1" t="inlineStr">
        <is>
          <t>Organic Growth % (recalc check)</t>
        </is>
      </c>
      <c r="P1" s="1" t="inlineStr">
        <is>
          <t>Source</t>
        </is>
      </c>
    </row>
    <row r="2">
      <c r="A2" s="2" t="inlineStr">
        <is>
          <t>Constellation Software Inc.</t>
        </is>
      </c>
      <c r="B2" s="2" t="inlineStr">
        <is>
          <t>Q2 2026 Interim Report (MD&amp;A)</t>
        </is>
      </c>
      <c r="C2" s="2" t="inlineStr">
        <is>
          <t>Q2 FY2026</t>
        </is>
      </c>
      <c r="D2" s="2" t="inlineStr">
        <is>
          <t>Three months ended June 30</t>
        </is>
      </c>
      <c r="E2" s="2" t="inlineStr">
        <is>
          <t>Licenses</t>
        </is>
      </c>
      <c r="F2" s="3" t="n">
        <v>8</v>
      </c>
      <c r="G2" s="4" t="inlineStr">
        <is>
          <t>2025-04-01</t>
        </is>
      </c>
      <c r="H2" s="4" t="inlineStr">
        <is>
          <t>2025-06-30</t>
        </is>
      </c>
      <c r="I2" s="2" t="inlineStr">
        <is>
          <t>Three months ended June 30, 2025 (estimated pre-acquisition revenues)</t>
        </is>
      </c>
      <c r="J2" s="2" t="inlineStr">
        <is>
          <t>Acquired after March 31, 2025</t>
        </is>
      </c>
      <c r="K2" s="2" t="inlineStr">
        <is>
          <t>Note 1</t>
        </is>
      </c>
      <c r="L2" s="3" t="n">
        <v>92</v>
      </c>
      <c r="M2" s="3" t="n">
        <v>87</v>
      </c>
      <c r="N2" s="5" t="n">
        <v>-0.03</v>
      </c>
      <c r="O2" s="6">
        <f>IF((M2+F2)=0,"",L2/(M2+F2)-1)</f>
        <v/>
      </c>
      <c r="P2" s="2" t="inlineStr">
        <is>
          <t>CSU Q2 2026 MD&amp;A, revenue by type table</t>
        </is>
      </c>
    </row>
    <row r="3">
      <c r="A3" s="2" t="inlineStr">
        <is>
          <t>Constellation Software Inc.</t>
        </is>
      </c>
      <c r="B3" s="2" t="inlineStr">
        <is>
          <t>Q2 2026 Interim Report (MD&amp;A)</t>
        </is>
      </c>
      <c r="C3" s="2" t="inlineStr">
        <is>
          <t>Q2 FY2026</t>
        </is>
      </c>
      <c r="D3" s="2" t="inlineStr">
        <is>
          <t>Three months ended June 30</t>
        </is>
      </c>
      <c r="E3" s="2" t="inlineStr">
        <is>
          <t>Professional services</t>
        </is>
      </c>
      <c r="F3" s="3" t="n">
        <v>61</v>
      </c>
      <c r="G3" s="4" t="inlineStr">
        <is>
          <t>2025-04-01</t>
        </is>
      </c>
      <c r="H3" s="4" t="inlineStr">
        <is>
          <t>2025-06-30</t>
        </is>
      </c>
      <c r="I3" s="2" t="inlineStr">
        <is>
          <t>Three months ended June 30, 2025 (estimated pre-acquisition revenues)</t>
        </is>
      </c>
      <c r="J3" s="2" t="inlineStr">
        <is>
          <t>Acquired after March 31, 2025</t>
        </is>
      </c>
      <c r="K3" s="2" t="inlineStr">
        <is>
          <t>Note 1</t>
        </is>
      </c>
      <c r="L3" s="3" t="n">
        <v>573</v>
      </c>
      <c r="M3" s="3" t="n">
        <v>532</v>
      </c>
      <c r="N3" s="5" t="n">
        <v>-0.03</v>
      </c>
      <c r="O3" s="6">
        <f>IF((M3+F3)=0,"",L3/(M3+F3)-1)</f>
        <v/>
      </c>
      <c r="P3" s="2" t="inlineStr">
        <is>
          <t>CSU Q2 2026 MD&amp;A, revenue by type table</t>
        </is>
      </c>
    </row>
    <row r="4">
      <c r="A4" s="2" t="inlineStr">
        <is>
          <t>Constellation Software Inc.</t>
        </is>
      </c>
      <c r="B4" s="2" t="inlineStr">
        <is>
          <t>Q2 2026 Interim Report (MD&amp;A)</t>
        </is>
      </c>
      <c r="C4" s="2" t="inlineStr">
        <is>
          <t>Q2 FY2026</t>
        </is>
      </c>
      <c r="D4" s="2" t="inlineStr">
        <is>
          <t>Three months ended June 30</t>
        </is>
      </c>
      <c r="E4" s="2" t="inlineStr">
        <is>
          <t>Hardware and other</t>
        </is>
      </c>
      <c r="F4" s="3" t="n">
        <v>28</v>
      </c>
      <c r="G4" s="4" t="inlineStr">
        <is>
          <t>2025-04-01</t>
        </is>
      </c>
      <c r="H4" s="4" t="inlineStr">
        <is>
          <t>2025-06-30</t>
        </is>
      </c>
      <c r="I4" s="2" t="inlineStr">
        <is>
          <t>Three months ended June 30, 2025 (estimated pre-acquisition revenues)</t>
        </is>
      </c>
      <c r="J4" s="2" t="inlineStr">
        <is>
          <t>Acquired after March 31, 2025</t>
        </is>
      </c>
      <c r="K4" s="2" t="inlineStr">
        <is>
          <t>Note 1</t>
        </is>
      </c>
      <c r="L4" s="3" t="n">
        <v>116</v>
      </c>
      <c r="M4" s="3" t="n">
        <v>80</v>
      </c>
      <c r="N4" s="5" t="n">
        <v>0.07000000000000001</v>
      </c>
      <c r="O4" s="6">
        <f>IF((M4+F4)=0,"",L4/(M4+F4)-1)</f>
        <v/>
      </c>
      <c r="P4" s="2" t="inlineStr">
        <is>
          <t>CSU Q2 2026 MD&amp;A, revenue by type table</t>
        </is>
      </c>
    </row>
    <row r="5">
      <c r="A5" s="2" t="inlineStr">
        <is>
          <t>Constellation Software Inc.</t>
        </is>
      </c>
      <c r="B5" s="2" t="inlineStr">
        <is>
          <t>Q2 2026 Interim Report (MD&amp;A)</t>
        </is>
      </c>
      <c r="C5" s="2" t="inlineStr">
        <is>
          <t>Q2 FY2026</t>
        </is>
      </c>
      <c r="D5" s="2" t="inlineStr">
        <is>
          <t>Three months ended June 30</t>
        </is>
      </c>
      <c r="E5" s="2" t="inlineStr">
        <is>
          <t>Maintenance and other recurring</t>
        </is>
      </c>
      <c r="F5" s="3" t="n">
        <v>306</v>
      </c>
      <c r="G5" s="4" t="inlineStr">
        <is>
          <t>2025-04-01</t>
        </is>
      </c>
      <c r="H5" s="4" t="inlineStr">
        <is>
          <t>2025-06-30</t>
        </is>
      </c>
      <c r="I5" s="2" t="inlineStr">
        <is>
          <t>Three months ended June 30, 2025 (estimated pre-acquisition revenues)</t>
        </is>
      </c>
      <c r="J5" s="2" t="inlineStr">
        <is>
          <t>Acquired after March 31, 2025</t>
        </is>
      </c>
      <c r="K5" s="2" t="inlineStr">
        <is>
          <t>Note 1</t>
        </is>
      </c>
      <c r="L5" s="3" t="n">
        <v>2554</v>
      </c>
      <c r="M5" s="3" t="n">
        <v>2144</v>
      </c>
      <c r="N5" s="5" t="n">
        <v>0.04</v>
      </c>
      <c r="O5" s="6">
        <f>IF((M5+F5)=0,"",L5/(M5+F5)-1)</f>
        <v/>
      </c>
      <c r="P5" s="2" t="inlineStr">
        <is>
          <t>CSU Q2 2026 MD&amp;A, revenue by type table</t>
        </is>
      </c>
    </row>
    <row r="6">
      <c r="A6" s="7" t="inlineStr">
        <is>
          <t>Constellation Software Inc.</t>
        </is>
      </c>
      <c r="B6" s="7" t="inlineStr">
        <is>
          <t>Q2 2026 Interim Report (MD&amp;A)</t>
        </is>
      </c>
      <c r="C6" s="7" t="inlineStr">
        <is>
          <t>Q2 FY2026</t>
        </is>
      </c>
      <c r="D6" s="7" t="inlineStr">
        <is>
          <t>Three months ended June 30</t>
        </is>
      </c>
      <c r="E6" s="7" t="inlineStr">
        <is>
          <t>Total revenue</t>
        </is>
      </c>
      <c r="F6" s="8">
        <f>SUM(F2:F5)</f>
        <v/>
      </c>
      <c r="G6" s="9" t="inlineStr">
        <is>
          <t>2025-04-01</t>
        </is>
      </c>
      <c r="H6" s="9" t="inlineStr">
        <is>
          <t>2025-06-30</t>
        </is>
      </c>
      <c r="I6" s="7" t="inlineStr">
        <is>
          <t>Three months ended June 30, 2025 (estimated pre-acquisition revenues)</t>
        </is>
      </c>
      <c r="J6" s="7" t="inlineStr">
        <is>
          <t>Acquired after March 31, 2025</t>
        </is>
      </c>
      <c r="K6" s="7" t="inlineStr">
        <is>
          <t>Note 1</t>
        </is>
      </c>
      <c r="L6" s="8">
        <f>SUM(L2:L5)</f>
        <v/>
      </c>
      <c r="M6" s="8">
        <f>SUM(M2:M5)</f>
        <v/>
      </c>
      <c r="N6" s="10" t="n">
        <v>0.03</v>
      </c>
      <c r="O6" s="11">
        <f>IF((M6+F6)=0,"",L6/(M6+F6)-1)</f>
        <v/>
      </c>
      <c r="P6" s="7" t="inlineStr">
        <is>
          <t>CSU Q2 2026 MD&amp;A, revenue by type table</t>
        </is>
      </c>
    </row>
    <row r="7">
      <c r="A7" s="2" t="inlineStr">
        <is>
          <t>Constellation Software Inc.</t>
        </is>
      </c>
      <c r="B7" s="2" t="inlineStr">
        <is>
          <t>Q2 2026 Interim Report (MD&amp;A)</t>
        </is>
      </c>
      <c r="C7" s="2" t="inlineStr">
        <is>
          <t>Q2 FY2026</t>
        </is>
      </c>
      <c r="D7" s="2" t="inlineStr">
        <is>
          <t>Six months ended June 30</t>
        </is>
      </c>
      <c r="E7" s="2" t="inlineStr">
        <is>
          <t>Licenses</t>
        </is>
      </c>
      <c r="F7" s="3" t="n">
        <v>12</v>
      </c>
      <c r="G7" s="4" t="inlineStr">
        <is>
          <t>2025-01-01</t>
        </is>
      </c>
      <c r="H7" s="4" t="inlineStr">
        <is>
          <t>2025-06-30</t>
        </is>
      </c>
      <c r="I7" s="2" t="inlineStr">
        <is>
          <t>Six months ended June 30, 2025 (estimated pre-acquisition revenues)</t>
        </is>
      </c>
      <c r="J7" s="2" t="inlineStr">
        <is>
          <t>Acquired after December 31, 2024</t>
        </is>
      </c>
      <c r="K7" s="2" t="inlineStr">
        <is>
          <t>Note 2</t>
        </is>
      </c>
      <c r="L7" s="3" t="n">
        <v>183</v>
      </c>
      <c r="M7" s="3" t="n">
        <v>183</v>
      </c>
      <c r="N7" s="5" t="n">
        <v>-0.06</v>
      </c>
      <c r="O7" s="6">
        <f>IF((M7+F7)=0,"",L7/(M7+F7)-1)</f>
        <v/>
      </c>
      <c r="P7" s="2" t="inlineStr">
        <is>
          <t>CSU Q2 2026 MD&amp;A, revenue by type table</t>
        </is>
      </c>
    </row>
    <row r="8">
      <c r="A8" s="2" t="inlineStr">
        <is>
          <t>Constellation Software Inc.</t>
        </is>
      </c>
      <c r="B8" s="2" t="inlineStr">
        <is>
          <t>Q2 2026 Interim Report (MD&amp;A)</t>
        </is>
      </c>
      <c r="C8" s="2" t="inlineStr">
        <is>
          <t>Q2 FY2026</t>
        </is>
      </c>
      <c r="D8" s="2" t="inlineStr">
        <is>
          <t>Six months ended June 30</t>
        </is>
      </c>
      <c r="E8" s="2" t="inlineStr">
        <is>
          <t>Professional services</t>
        </is>
      </c>
      <c r="F8" s="3" t="n">
        <v>118</v>
      </c>
      <c r="G8" s="4" t="inlineStr">
        <is>
          <t>2025-01-01</t>
        </is>
      </c>
      <c r="H8" s="4" t="inlineStr">
        <is>
          <t>2025-06-30</t>
        </is>
      </c>
      <c r="I8" s="2" t="inlineStr">
        <is>
          <t>Six months ended June 30, 2025 (estimated pre-acquisition revenues)</t>
        </is>
      </c>
      <c r="J8" s="2" t="inlineStr">
        <is>
          <t>Acquired after December 31, 2024</t>
        </is>
      </c>
      <c r="K8" s="2" t="inlineStr">
        <is>
          <t>Note 2</t>
        </is>
      </c>
      <c r="L8" s="3" t="n">
        <v>1119</v>
      </c>
      <c r="M8" s="3" t="n">
        <v>1019</v>
      </c>
      <c r="N8" s="5" t="n">
        <v>-0.02</v>
      </c>
      <c r="O8" s="6">
        <f>IF((M8+F8)=0,"",L8/(M8+F8)-1)</f>
        <v/>
      </c>
      <c r="P8" s="2" t="inlineStr">
        <is>
          <t>CSU Q2 2026 MD&amp;A, revenue by type table</t>
        </is>
      </c>
    </row>
    <row r="9">
      <c r="A9" s="2" t="inlineStr">
        <is>
          <t>Constellation Software Inc.</t>
        </is>
      </c>
      <c r="B9" s="2" t="inlineStr">
        <is>
          <t>Q2 2026 Interim Report (MD&amp;A)</t>
        </is>
      </c>
      <c r="C9" s="2" t="inlineStr">
        <is>
          <t>Q2 FY2026</t>
        </is>
      </c>
      <c r="D9" s="2" t="inlineStr">
        <is>
          <t>Six months ended June 30</t>
        </is>
      </c>
      <c r="E9" s="2" t="inlineStr">
        <is>
          <t>Hardware and other</t>
        </is>
      </c>
      <c r="F9" s="3" t="n">
        <v>55</v>
      </c>
      <c r="G9" s="4" t="inlineStr">
        <is>
          <t>2025-01-01</t>
        </is>
      </c>
      <c r="H9" s="4" t="inlineStr">
        <is>
          <t>2025-06-30</t>
        </is>
      </c>
      <c r="I9" s="2" t="inlineStr">
        <is>
          <t>Six months ended June 30, 2025 (estimated pre-acquisition revenues)</t>
        </is>
      </c>
      <c r="J9" s="2" t="inlineStr">
        <is>
          <t>Acquired after December 31, 2024</t>
        </is>
      </c>
      <c r="K9" s="2" t="inlineStr">
        <is>
          <t>Note 2</t>
        </is>
      </c>
      <c r="L9" s="3" t="n">
        <v>216</v>
      </c>
      <c r="M9" s="3" t="n">
        <v>155</v>
      </c>
      <c r="N9" s="5" t="n">
        <v>0.03</v>
      </c>
      <c r="O9" s="6">
        <f>IF((M9+F9)=0,"",L9/(M9+F9)-1)</f>
        <v/>
      </c>
      <c r="P9" s="2" t="inlineStr">
        <is>
          <t>CSU Q2 2026 MD&amp;A, revenue by type table</t>
        </is>
      </c>
    </row>
    <row r="10">
      <c r="A10" s="2" t="inlineStr">
        <is>
          <t>Constellation Software Inc.</t>
        </is>
      </c>
      <c r="B10" s="2" t="inlineStr">
        <is>
          <t>Q2 2026 Interim Report (MD&amp;A)</t>
        </is>
      </c>
      <c r="C10" s="2" t="inlineStr">
        <is>
          <t>Q2 FY2026</t>
        </is>
      </c>
      <c r="D10" s="2" t="inlineStr">
        <is>
          <t>Six months ended June 30</t>
        </is>
      </c>
      <c r="E10" s="2" t="inlineStr">
        <is>
          <t>Maintenance and other recurring</t>
        </is>
      </c>
      <c r="F10" s="3" t="n">
        <v>557</v>
      </c>
      <c r="G10" s="4" t="inlineStr">
        <is>
          <t>2025-01-01</t>
        </is>
      </c>
      <c r="H10" s="4" t="inlineStr">
        <is>
          <t>2025-06-30</t>
        </is>
      </c>
      <c r="I10" s="2" t="inlineStr">
        <is>
          <t>Six months ended June 30, 2025 (estimated pre-acquisition revenues)</t>
        </is>
      </c>
      <c r="J10" s="2" t="inlineStr">
        <is>
          <t>Acquired after December 31, 2024</t>
        </is>
      </c>
      <c r="K10" s="2" t="inlineStr">
        <is>
          <t>Note 2</t>
        </is>
      </c>
      <c r="L10" s="3" t="n">
        <v>4998</v>
      </c>
      <c r="M10" s="3" t="n">
        <v>4141</v>
      </c>
      <c r="N10" s="5" t="n">
        <v>0.06</v>
      </c>
      <c r="O10" s="6">
        <f>IF((M10+F10)=0,"",L10/(M10+F10)-1)</f>
        <v/>
      </c>
      <c r="P10" s="2" t="inlineStr">
        <is>
          <t>CSU Q2 2026 MD&amp;A, revenue by type table</t>
        </is>
      </c>
    </row>
    <row r="11">
      <c r="A11" s="7" t="inlineStr">
        <is>
          <t>Constellation Software Inc.</t>
        </is>
      </c>
      <c r="B11" s="7" t="inlineStr">
        <is>
          <t>Q2 2026 Interim Report (MD&amp;A)</t>
        </is>
      </c>
      <c r="C11" s="7" t="inlineStr">
        <is>
          <t>Q2 FY2026</t>
        </is>
      </c>
      <c r="D11" s="7" t="inlineStr">
        <is>
          <t>Six months ended June 30</t>
        </is>
      </c>
      <c r="E11" s="7" t="inlineStr">
        <is>
          <t>Total revenue</t>
        </is>
      </c>
      <c r="F11" s="8">
        <f>SUM(F7:F10)</f>
        <v/>
      </c>
      <c r="G11" s="9" t="inlineStr">
        <is>
          <t>2025-01-01</t>
        </is>
      </c>
      <c r="H11" s="9" t="inlineStr">
        <is>
          <t>2025-06-30</t>
        </is>
      </c>
      <c r="I11" s="7" t="inlineStr">
        <is>
          <t>Six months ended June 30, 2025 (estimated pre-acquisition revenues)</t>
        </is>
      </c>
      <c r="J11" s="7" t="inlineStr">
        <is>
          <t>Acquired after December 31, 2024</t>
        </is>
      </c>
      <c r="K11" s="7" t="inlineStr">
        <is>
          <t>Note 2</t>
        </is>
      </c>
      <c r="L11" s="8">
        <f>SUM(L7:L10)</f>
        <v/>
      </c>
      <c r="M11" s="8">
        <f>SUM(M7:M10)</f>
        <v/>
      </c>
      <c r="N11" s="10" t="n">
        <v>0.04</v>
      </c>
      <c r="O11" s="11">
        <f>IF((M11+F11)=0,"",L11/(M11+F11)-1)</f>
        <v/>
      </c>
      <c r="P11" s="7" t="inlineStr">
        <is>
          <t>CSU Q2 2026 MD&amp;A, revenue by type table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2" t="inlineStr">
        <is>
          <t>Subject</t>
        </is>
      </c>
      <c r="B1" s="12" t="inlineStr">
        <is>
          <t>Detail</t>
        </is>
      </c>
    </row>
    <row r="2">
      <c r="A2" s="13" t="inlineStr">
        <is>
          <t>Company</t>
        </is>
      </c>
      <c r="B2" s="14" t="inlineStr">
        <is>
          <t>Constellation Software Inc.</t>
        </is>
      </c>
    </row>
    <row r="3">
      <c r="A3" s="13" t="inlineStr">
        <is>
          <t>Filing</t>
        </is>
      </c>
      <c r="B3" s="14" t="inlineStr">
        <is>
          <t>Q2 2026 Interim Report (MD&amp;A) — revenue breakdown by revenue type table</t>
        </is>
      </c>
    </row>
    <row r="4">
      <c r="A4" s="13" t="inlineStr">
        <is>
          <t>Currency / units</t>
        </is>
      </c>
      <c r="B4" s="14" t="inlineStr">
        <is>
          <t>$M (millions of US dollars), as presented in the filing</t>
        </is>
      </c>
    </row>
    <row r="5">
      <c r="A5" s="13" t="inlineStr">
        <is>
          <t>What was extracted</t>
        </is>
      </c>
      <c r="B5" s="14" t="inlineStr">
        <is>
          <t>The 'Q2 25 Proforma Adj.' columns for both the three-month and six-month presentations, by revenue type, with the period each adjustment covers taken from the table footnotes.</t>
        </is>
      </c>
    </row>
    <row r="6">
      <c r="A6" s="13" t="inlineStr">
        <is>
          <t>Note 1 (three months)</t>
        </is>
      </c>
      <c r="B6" s="14" t="inlineStr">
        <is>
          <t>Estimated pre-acquisition revenues for the three months ended June 30, 2025 from companies acquired after March 31, 2025. (Obtained from unaudited vendor financial information.)</t>
        </is>
      </c>
    </row>
    <row r="7">
      <c r="A7" s="13" t="inlineStr">
        <is>
          <t>Note 2 (six months)</t>
        </is>
      </c>
      <c r="B7" s="14" t="inlineStr">
        <is>
          <t>Estimated pre-acquisition revenues for the six months ended June 30, 2025 from companies acquired after December 31, 2024. (Obtained from unaudited vendor financial information.)</t>
        </is>
      </c>
    </row>
    <row r="8">
      <c r="A8" s="13" t="inlineStr">
        <is>
          <t>Period interpretation</t>
        </is>
      </c>
      <c r="B8" s="14" t="inlineStr">
        <is>
          <t>Note 1 pro forma amounts cover 2025-04-01 to 2025-06-30. Note 2 pro forma amounts cover 2025-01-01 to 2025-06-30. In both cases the amounts are PRIOR-YEAR (2025) pre-acquisition revenue of businesses acquired after the stated cut-off date, added to the prior-year base for organic growth.</t>
        </is>
      </c>
    </row>
    <row r="9">
      <c r="A9" s="13" t="inlineStr">
        <is>
          <t>Organic growth check</t>
        </is>
      </c>
      <c r="B9" s="14" t="inlineStr">
        <is>
          <t>Column O recalculates organic growth as (Current-year reported revenue) / (Prior-year reported revenue + Pro forma adjustment) - 1. It reproduces the filing's reported figures in column N to within rounding; the filing notes totals and percentages may not foot due to rounding.</t>
        </is>
      </c>
    </row>
    <row r="10">
      <c r="A10" s="13" t="inlineStr">
        <is>
          <t>Cell colors</t>
        </is>
      </c>
      <c r="B10" s="14" t="inlineStr">
        <is>
          <t>Blue = value keyed directly from the filing. Black = formula (totals and the organic-growth recalculation).</t>
        </is>
      </c>
    </row>
    <row r="11">
      <c r="A11" s="13" t="inlineStr">
        <is>
          <t>Adding more filings</t>
        </is>
      </c>
      <c r="B11" s="14" t="inlineStr">
        <is>
          <t>Append rows to the 'ProForma Adj' sheet using the same columns. Keep one row per revenue type per reporting basis, and set 'Pro Forma Period Start/End' and 'Acquisitions Included' from that filing's own footnotes — the acquisition cut-off date changes every quarter (three-month notes use the prior quarter-end; six/nine/twelve-month and annual notes use the prior year-end or corresponding earlier date).</t>
        </is>
      </c>
    </row>
    <row r="12">
      <c r="A12" s="13" t="inlineStr">
        <is>
          <t>Source</t>
        </is>
      </c>
      <c r="B12" s="14" t="inlineStr">
        <is>
          <t>Constellation Software Inc. quarterly report to shareholders / MD&amp;A, Q2 2026, revenue-by-type table (values supplied by user from the filing).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  <col width="46" customWidth="1" min="4" max="4"/>
    <col width="46" customWidth="1" min="5" max="5"/>
    <col width="16" customWidth="1" min="6" max="6"/>
    <col width="70" customWidth="1" min="7" max="7"/>
  </cols>
  <sheetData>
    <row r="1" ht="40" customHeight="1">
      <c r="A1" s="1" t="inlineStr">
        <is>
          <t>Target Filing</t>
        </is>
      </c>
      <c r="B1" s="1" t="inlineStr">
        <is>
          <t>Report</t>
        </is>
      </c>
      <c r="C1" s="1" t="inlineStr">
        <is>
          <t>Reporting Bases in Table</t>
        </is>
      </c>
      <c r="D1" s="1" t="inlineStr">
        <is>
          <t>Pro Forma Period(s) Covered</t>
        </is>
      </c>
      <c r="E1" s="1" t="inlineStr">
        <is>
          <t>Acquisition Cut-off(s) per Footnote</t>
        </is>
      </c>
      <c r="F1" s="1" t="inlineStr">
        <is>
          <t>Status</t>
        </is>
      </c>
      <c r="G1" s="1" t="inlineStr">
        <is>
          <t>Document URL (where confirmed)</t>
        </is>
      </c>
    </row>
    <row r="2">
      <c r="A2" s="2" t="inlineStr">
        <is>
          <t>Q2 FY2026</t>
        </is>
      </c>
      <c r="B2" s="2" t="inlineStr">
        <is>
          <t>Q2 2026 Interim Report / MD&amp;A</t>
        </is>
      </c>
      <c r="C2" s="2" t="inlineStr">
        <is>
          <t>Three months ended Jun 30; Six months ended Jun 30</t>
        </is>
      </c>
      <c r="D2" s="2" t="inlineStr">
        <is>
          <t>Apr 1 - Jun 30, 2025; Jan 1 - Jun 30, 2025</t>
        </is>
      </c>
      <c r="E2" s="2" t="inlineStr">
        <is>
          <t>After Mar 31, 2025; After Dec 31, 2024</t>
        </is>
      </c>
      <c r="F2" s="15" t="inlineStr">
        <is>
          <t>EXTRACTED</t>
        </is>
      </c>
      <c r="G2" s="2" t="inlineStr"/>
    </row>
    <row r="3">
      <c r="A3" s="2" t="inlineStr">
        <is>
          <t>Q1 FY2026</t>
        </is>
      </c>
      <c r="B3" s="2" t="inlineStr">
        <is>
          <t>Q1 2026 Interim Report / MD&amp;A</t>
        </is>
      </c>
      <c r="C3" s="2" t="inlineStr">
        <is>
          <t>Three months ended Mar 31</t>
        </is>
      </c>
      <c r="D3" s="2" t="inlineStr">
        <is>
          <t>Jan 1 - Mar 31, 2025</t>
        </is>
      </c>
      <c r="E3" s="2" t="inlineStr">
        <is>
          <t>After Dec 31, 2024</t>
        </is>
      </c>
      <c r="F3" s="16" t="inlineStr">
        <is>
          <t>PENDING</t>
        </is>
      </c>
      <c r="G3" s="2" t="inlineStr">
        <is>
          <t>https://www.csisoftware.com/wp-content/uploads/2026/05/CSI-MDA-Q1-2026-Final.pdf</t>
        </is>
      </c>
    </row>
    <row r="4">
      <c r="A4" s="2" t="inlineStr">
        <is>
          <t>Q4 FY2025</t>
        </is>
      </c>
      <c r="B4" s="2" t="inlineStr">
        <is>
          <t>Q4 2025 Shareholder Report</t>
        </is>
      </c>
      <c r="C4" s="2" t="inlineStr">
        <is>
          <t>Three months ended Dec 31; Twelve months ended Dec 31</t>
        </is>
      </c>
      <c r="D4" s="2" t="inlineStr">
        <is>
          <t>Oct 1 - Dec 31, 2024; Jan 1 - Dec 31, 2024</t>
        </is>
      </c>
      <c r="E4" s="2" t="inlineStr">
        <is>
          <t>After Sep 30, 2024; After Dec 31, 2023</t>
        </is>
      </c>
      <c r="F4" s="16" t="inlineStr">
        <is>
          <t>PENDING</t>
        </is>
      </c>
      <c r="G4" s="2" t="inlineStr">
        <is>
          <t>https://www.csisoftware.com/wp-content/uploads/2026/04/Q4-2025-Shareholder-Report.pdf</t>
        </is>
      </c>
    </row>
    <row r="5">
      <c r="A5" s="2" t="inlineStr">
        <is>
          <t>Q3 FY2025</t>
        </is>
      </c>
      <c r="B5" s="2" t="inlineStr">
        <is>
          <t>Q3 2025 Interim Report / MD&amp;A</t>
        </is>
      </c>
      <c r="C5" s="2" t="inlineStr">
        <is>
          <t>Three months ended Sep 30; Nine months ended Sep 30</t>
        </is>
      </c>
      <c r="D5" s="2" t="inlineStr">
        <is>
          <t>Jul 1 - Sep 30, 2024; Jan 1 - Sep 30, 2024</t>
        </is>
      </c>
      <c r="E5" s="2" t="inlineStr">
        <is>
          <t>After Jun 30, 2024; After Dec 31, 2023</t>
        </is>
      </c>
      <c r="F5" s="16" t="inlineStr">
        <is>
          <t>PENDING</t>
        </is>
      </c>
      <c r="G5" s="2" t="inlineStr"/>
    </row>
    <row r="6">
      <c r="A6" s="2" t="inlineStr">
        <is>
          <t>Q2 FY2025</t>
        </is>
      </c>
      <c r="B6" s="2" t="inlineStr">
        <is>
          <t>Q2 2025 Interim Report / MD&amp;A</t>
        </is>
      </c>
      <c r="C6" s="2" t="inlineStr">
        <is>
          <t>Three months ended Jun 30; Six months ended Jun 30</t>
        </is>
      </c>
      <c r="D6" s="2" t="inlineStr">
        <is>
          <t>Apr 1 - Jun 30, 2024; Jan 1 - Jun 30, 2024</t>
        </is>
      </c>
      <c r="E6" s="2" t="inlineStr">
        <is>
          <t>After Mar 31, 2024; After Dec 31, 2023</t>
        </is>
      </c>
      <c r="F6" s="16" t="inlineStr">
        <is>
          <t>PENDING</t>
        </is>
      </c>
      <c r="G6" s="2" t="inlineStr"/>
    </row>
    <row r="7">
      <c r="A7" s="2" t="inlineStr">
        <is>
          <t>Q1 FY2025</t>
        </is>
      </c>
      <c r="B7" s="2" t="inlineStr">
        <is>
          <t>Q1 2025 Interim Report / MD&amp;A</t>
        </is>
      </c>
      <c r="C7" s="2" t="inlineStr">
        <is>
          <t>Three months ended Mar 31</t>
        </is>
      </c>
      <c r="D7" s="2" t="inlineStr">
        <is>
          <t>Jan 1 - Mar 31, 2024</t>
        </is>
      </c>
      <c r="E7" s="2" t="inlineStr">
        <is>
          <t>After Dec 31, 2023</t>
        </is>
      </c>
      <c r="F7" s="16" t="inlineStr">
        <is>
          <t>PENDING</t>
        </is>
      </c>
      <c r="G7" s="2" t="inlineStr"/>
    </row>
    <row r="8">
      <c r="A8" s="2" t="inlineStr">
        <is>
          <t>Q4 FY2024</t>
        </is>
      </c>
      <c r="B8" s="2" t="inlineStr">
        <is>
          <t>Q4 2024 Shareholder Report</t>
        </is>
      </c>
      <c r="C8" s="2" t="inlineStr">
        <is>
          <t>Three months ended Dec 31; Twelve months ended Dec 31</t>
        </is>
      </c>
      <c r="D8" s="2" t="inlineStr">
        <is>
          <t>Oct 1 - Dec 31, 2023; Jan 1 - Dec 31, 2023</t>
        </is>
      </c>
      <c r="E8" s="2" t="inlineStr">
        <is>
          <t>After Sep 30, 2023; After Dec 31, 2022</t>
        </is>
      </c>
      <c r="F8" s="16" t="inlineStr">
        <is>
          <t>PENDING</t>
        </is>
      </c>
      <c r="G8" s="2" t="inlineStr">
        <is>
          <t>https://www.csisoftware.com/docs/default-source/press-releases/q4-2024-shareholder-report.pdf</t>
        </is>
      </c>
    </row>
    <row r="9">
      <c r="A9" s="2" t="inlineStr">
        <is>
          <t>Q3 FY2024</t>
        </is>
      </c>
      <c r="B9" s="2" t="inlineStr">
        <is>
          <t>Q3 2024 Interim Report / MD&amp;A</t>
        </is>
      </c>
      <c r="C9" s="2" t="inlineStr">
        <is>
          <t>Three months ended Sep 30; Nine months ended Sep 30</t>
        </is>
      </c>
      <c r="D9" s="2" t="inlineStr">
        <is>
          <t>Jul 1 - Sep 30, 2023; Jan 1 - Sep 30, 2023</t>
        </is>
      </c>
      <c r="E9" s="2" t="inlineStr">
        <is>
          <t>After Jun 30, 2023; After Dec 31, 2022</t>
        </is>
      </c>
      <c r="F9" s="16" t="inlineStr">
        <is>
          <t>PENDING</t>
        </is>
      </c>
      <c r="G9" s="2" t="inlineStr"/>
    </row>
    <row r="10">
      <c r="A10" s="2" t="inlineStr">
        <is>
          <t>FY2025 (annual)</t>
        </is>
      </c>
      <c r="B10" s="2" t="inlineStr">
        <is>
          <t>Q4 2025 / FY2025 Annual Report</t>
        </is>
      </c>
      <c r="C10" s="2" t="inlineStr">
        <is>
          <t>Twelve months ended Dec 31</t>
        </is>
      </c>
      <c r="D10" s="2" t="inlineStr">
        <is>
          <t>Jan 1 - Dec 31, 2024</t>
        </is>
      </c>
      <c r="E10" s="2" t="inlineStr">
        <is>
          <t>After Dec 31, 2023</t>
        </is>
      </c>
      <c r="F10" s="16" t="inlineStr">
        <is>
          <t>PENDING</t>
        </is>
      </c>
      <c r="G10" s="2" t="inlineStr">
        <is>
          <t>https://www.csisoftware.com/wp-content/uploads/2026/04/Q4-2025-Shareholder-Report.pdf</t>
        </is>
      </c>
    </row>
    <row r="11">
      <c r="A11" s="2" t="inlineStr">
        <is>
          <t>FY2024 (annual)</t>
        </is>
      </c>
      <c r="B11" s="2" t="inlineStr">
        <is>
          <t>Q4 2024 / FY2024 Annual Report</t>
        </is>
      </c>
      <c r="C11" s="2" t="inlineStr">
        <is>
          <t>Twelve months ended Dec 31</t>
        </is>
      </c>
      <c r="D11" s="2" t="inlineStr">
        <is>
          <t>Jan 1 - Dec 31, 2023</t>
        </is>
      </c>
      <c r="E11" s="2" t="inlineStr">
        <is>
          <t>After Dec 31, 2022</t>
        </is>
      </c>
      <c r="F11" s="16" t="inlineStr">
        <is>
          <t>PENDING</t>
        </is>
      </c>
      <c r="G11" s="2" t="inlineStr">
        <is>
          <t>https://www.csisoftware.com/docs/default-source/press-releases/q4-2024-shareholder-report.pdf</t>
        </is>
      </c>
    </row>
    <row r="12">
      <c r="A12" s="2" t="inlineStr">
        <is>
          <t>FY2023 (annual)</t>
        </is>
      </c>
      <c r="B12" s="2" t="inlineStr">
        <is>
          <t>Q4 2023 / FY2023 Annual Report</t>
        </is>
      </c>
      <c r="C12" s="2" t="inlineStr">
        <is>
          <t>Twelve months ended Dec 31</t>
        </is>
      </c>
      <c r="D12" s="2" t="inlineStr">
        <is>
          <t>Jan 1 - Dec 31, 2022</t>
        </is>
      </c>
      <c r="E12" s="2" t="inlineStr">
        <is>
          <t>After Dec 31, 2021</t>
        </is>
      </c>
      <c r="F12" s="16" t="inlineStr">
        <is>
          <t>PENDING</t>
        </is>
      </c>
      <c r="G12" s="2" t="inlineStr"/>
    </row>
    <row r="13">
      <c r="A13" s="2" t="inlineStr">
        <is>
          <t>FY2022 (annual)</t>
        </is>
      </c>
      <c r="B13" s="2" t="inlineStr">
        <is>
          <t>Q4 2022 / FY2022 Annual Report</t>
        </is>
      </c>
      <c r="C13" s="2" t="inlineStr">
        <is>
          <t>Twelve months ended Dec 31</t>
        </is>
      </c>
      <c r="D13" s="2" t="inlineStr">
        <is>
          <t>Jan 1 - Dec 31, 2021</t>
        </is>
      </c>
      <c r="E13" s="2" t="inlineStr">
        <is>
          <t>After Dec 31, 2020</t>
        </is>
      </c>
      <c r="F13" s="16" t="inlineStr">
        <is>
          <t>PENDING</t>
        </is>
      </c>
      <c r="G13" s="2" t="inlineStr"/>
    </row>
    <row r="14">
      <c r="A14" s="2" t="inlineStr">
        <is>
          <t>FY2021 (annual)</t>
        </is>
      </c>
      <c r="B14" s="2" t="inlineStr">
        <is>
          <t>Q4 2021 / FY2021 Annual Report</t>
        </is>
      </c>
      <c r="C14" s="2" t="inlineStr">
        <is>
          <t>Twelve months ended Dec 31</t>
        </is>
      </c>
      <c r="D14" s="2" t="inlineStr">
        <is>
          <t>Jan 1 - Dec 31, 2020</t>
        </is>
      </c>
      <c r="E14" s="2" t="inlineStr">
        <is>
          <t>After Dec 31, 2019</t>
        </is>
      </c>
      <c r="F14" s="16" t="inlineStr">
        <is>
          <t>PENDING</t>
        </is>
      </c>
      <c r="G14" s="2" t="inlineStr"/>
    </row>
    <row r="15">
      <c r="A15" s="2" t="inlineStr">
        <is>
          <t>FY2020 (annual)</t>
        </is>
      </c>
      <c r="B15" s="2" t="inlineStr">
        <is>
          <t>Q4 2020 / FY2020 Annual Report</t>
        </is>
      </c>
      <c r="C15" s="2" t="inlineStr">
        <is>
          <t>Twelve months ended Dec 31</t>
        </is>
      </c>
      <c r="D15" s="2" t="inlineStr">
        <is>
          <t>Jan 1 - Dec 31, 2019</t>
        </is>
      </c>
      <c r="E15" s="2" t="inlineStr">
        <is>
          <t>After Dec 31, 2018</t>
        </is>
      </c>
      <c r="F15" s="16" t="inlineStr">
        <is>
          <t>PENDING</t>
        </is>
      </c>
      <c r="G15" s="2" t="inlineStr"/>
    </row>
    <row r="17">
      <c r="A17" s="17" t="inlineStr">
        <is>
          <t>Pro forma period rule (derived from the footnotes, verify against each filing):</t>
        </is>
      </c>
    </row>
    <row r="18">
      <c r="A18" s="18" t="inlineStr">
        <is>
          <t xml:space="preserve">  The pro forma adjustment always covers the FULL COMPARATIVE (prior-year) period shown in that column, and the acquisition cut-off is the day before that comparative period begins.</t>
        </is>
      </c>
    </row>
    <row r="19">
      <c r="A19" s="18" t="inlineStr">
        <is>
          <t xml:space="preserve">  e.g. 'three months ended June 30, 2025' -&gt; companies acquired after March 31, 2025;  'six months ended June 30, 2025' -&gt; companies acquired after December 31, 2024.</t>
        </is>
      </c>
    </row>
    <row r="20">
      <c r="A20" s="18" t="inlineStr">
        <is>
          <t>Column E entries above are the EXPECTED cut-offs under that rule and must be replaced with the wording actually printed in each filing's footnote before the row is treated as extracted.</t>
        </is>
      </c>
    </row>
    <row r="21">
      <c r="A21" s="18" t="inlineStr">
        <is>
          <t>URLs: only those confirmed via search are listed; the remainder are on Constellation's investor-relations site (csisoftware.com) and SEDAR+.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2026-08-18T14:28:17Z</dcterms:created>
  <dcterms:modified xmlns:dcterms="http://purl.org/dc/terms/" xmlns:xsi="http://www.w3.org/2001/XMLSchema-instance" xsi:type="dcterms:W3CDTF">2026-08-18T14:45:38Z</dcterms:modified>
</cp:coreProperties>
</file>